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<sst xmlns="http://schemas.openxmlformats.org/spreadsheetml/2006/main" uniqueCount="27">
  <si>
    <t>IMF Data</t>
  </si>
  <si>
    <t>Taiwanese Government Data</t>
  </si>
  <si>
    <t>World Bank Data</t>
  </si>
  <si>
    <t>Calculation</t>
  </si>
  <si>
    <t>Year</t>
  </si>
  <si>
    <t>GDP</t>
  </si>
  <si>
    <t>Implied PPP</t>
  </si>
  <si>
    <t>Population</t>
  </si>
  <si>
    <t>Exchange Rate</t>
  </si>
  <si>
    <t>Nominal GDP</t>
  </si>
  <si>
    <t>Price Level Index</t>
  </si>
  <si>
    <t>Estimated GDP PPP</t>
  </si>
  <si>
    <t>Estimated Price Level Index</t>
  </si>
  <si>
    <t>Million USD</t>
  </si>
  <si>
    <t>PPP, Million int-$</t>
  </si>
  <si>
    <t>TWD / int-$</t>
  </si>
  <si>
    <t>Person</t>
  </si>
  <si>
    <t>TWD / USD</t>
  </si>
  <si>
    <t>Million TWD</t>
  </si>
  <si>
    <t>-</t>
  </si>
  <si>
    <t>Million int-$</t>
  </si>
  <si>
    <t>Note</t>
  </si>
  <si>
    <r>
      <rPr>
        <sz val="10"/>
        <color indexed="8"/>
        <rFont val="Helvetica Neue"/>
      </rPr>
      <t xml:space="preserve">Source: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International Monetary Found
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https://www.imf.org/external/datamapper/datasets/WEO</t>
    </r>
  </si>
  <si>
    <r>
      <rPr>
        <sz val="10"/>
        <color indexed="8"/>
        <rFont val="Helvetica Neue"/>
      </rPr>
      <t xml:space="preserve">Source: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Directorate-General of Budget, Accounting and Statistics
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https://nstatdb.dgbas.gov.tw/dgbasall/webMain.aspx?k=dgmain</t>
    </r>
  </si>
  <si>
    <r>
      <rPr>
        <sz val="10"/>
        <color indexed="8"/>
        <rFont val="Helvetica Neue"/>
      </rPr>
      <t xml:space="preserve">Source: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World Bank
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https://www.worldbank.org/en/programs/icp/data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PLI world average = 100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Taiwan = 81.4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USA = 158.5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Taiwan / USA * 100 = 81.4 / 158.5 * 100 = 51.4</t>
    </r>
  </si>
  <si>
    <t>GDP: Taiwanese Government Data
PPP: IMF Data</t>
  </si>
  <si>
    <t>Exchange Rate: Taiwanese Government Data
PPP: IMF Data
Estimated PLI = PPP / Exchange Rate * 100
Match WB 2021 PLI data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</si>
</sst>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"/>
    <numFmt numFmtId="60" formatCode="#,##0.0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center" wrapText="1"/>
    </xf>
    <xf numFmtId="0" fontId="2" fillId="3" borderId="3" applyNumberFormat="1" applyFont="1" applyFill="1" applyBorder="1" applyAlignment="1" applyProtection="0">
      <alignment horizontal="center" vertical="center" wrapText="1"/>
    </xf>
    <xf numFmtId="3" fontId="0" fillId="4" borderId="4" applyNumberFormat="1" applyFont="1" applyFill="1" applyBorder="1" applyAlignment="1" applyProtection="0">
      <alignment horizontal="center" vertical="center" wrapText="1"/>
    </xf>
    <xf numFmtId="3" fontId="0" fillId="5" borderId="5" applyNumberFormat="1" applyFont="1" applyFill="1" applyBorder="1" applyAlignment="1" applyProtection="0">
      <alignment horizontal="center" vertical="center" wrapText="1"/>
    </xf>
    <xf numFmtId="0" fontId="0" borderId="5" applyNumberFormat="1" applyFont="1" applyFill="0" applyBorder="1" applyAlignment="1" applyProtection="0">
      <alignment horizontal="center" vertical="center" wrapText="1"/>
    </xf>
    <xf numFmtId="3" fontId="0" borderId="5" applyNumberFormat="1" applyFont="1" applyFill="0" applyBorder="1" applyAlignment="1" applyProtection="0">
      <alignment horizontal="center" vertical="center" wrapText="1"/>
    </xf>
    <xf numFmtId="3" fontId="0" fillId="4" borderId="5" applyNumberFormat="1" applyFont="1" applyFill="1" applyBorder="1" applyAlignment="1" applyProtection="0">
      <alignment horizontal="center" vertical="center" wrapText="1"/>
    </xf>
    <xf numFmtId="59" fontId="0" borderId="5" applyNumberFormat="1" applyFont="1" applyFill="0" applyBorder="1" applyAlignment="1" applyProtection="0">
      <alignment horizontal="center" vertical="center" wrapText="1"/>
    </xf>
    <xf numFmtId="0" fontId="2" fillId="3" borderId="6" applyNumberFormat="1" applyFont="1" applyFill="1" applyBorder="1" applyAlignment="1" applyProtection="0">
      <alignment horizontal="center" vertical="center" wrapText="1"/>
    </xf>
    <xf numFmtId="3" fontId="0" fillId="4" borderId="7" applyNumberFormat="1" applyFont="1" applyFill="1" applyBorder="1" applyAlignment="1" applyProtection="0">
      <alignment horizontal="center" vertical="center" wrapText="1"/>
    </xf>
    <xf numFmtId="3" fontId="0" fillId="5" borderId="1" applyNumberFormat="1" applyFont="1" applyFill="1" applyBorder="1" applyAlignment="1" applyProtection="0">
      <alignment horizontal="center" vertical="center" wrapText="1"/>
    </xf>
    <xf numFmtId="0" fontId="0" borderId="1" applyNumberFormat="1" applyFont="1" applyFill="0" applyBorder="1" applyAlignment="1" applyProtection="0">
      <alignment horizontal="center" vertical="center" wrapText="1"/>
    </xf>
    <xf numFmtId="3" fontId="0" borderId="1" applyNumberFormat="1" applyFont="1" applyFill="0" applyBorder="1" applyAlignment="1" applyProtection="0">
      <alignment horizontal="center" vertical="center" wrapText="1"/>
    </xf>
    <xf numFmtId="3" fontId="0" fillId="4" borderId="1" applyNumberFormat="1" applyFont="1" applyFill="1" applyBorder="1" applyAlignment="1" applyProtection="0">
      <alignment horizontal="center" vertical="center" wrapText="1"/>
    </xf>
    <xf numFmtId="59" fontId="0" borderId="1" applyNumberFormat="1" applyFont="1" applyFill="0" applyBorder="1" applyAlignment="1" applyProtection="0">
      <alignment horizontal="center" vertical="center" wrapText="1"/>
    </xf>
    <xf numFmtId="60" fontId="0" borderId="1" applyNumberFormat="1" applyFont="1" applyFill="0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top" wrapText="1"/>
    </xf>
    <xf numFmtId="3" fontId="0" borderId="1" applyNumberFormat="1" applyFont="1" applyFill="0" applyBorder="1" applyAlignment="1" applyProtection="0">
      <alignment vertical="top" wrapText="1"/>
    </xf>
    <xf numFmtId="0" fontId="2" fillId="3" borderId="8" applyNumberFormat="1" applyFont="1" applyFill="1" applyBorder="1" applyAlignment="1" applyProtection="0">
      <alignment horizontal="center" vertical="center" wrapText="1"/>
    </xf>
    <xf numFmtId="3" fontId="0" fillId="4" borderId="9" applyNumberFormat="1" applyFont="1" applyFill="1" applyBorder="1" applyAlignment="1" applyProtection="0">
      <alignment horizontal="center" vertical="center" wrapText="1"/>
    </xf>
    <xf numFmtId="3" fontId="0" fillId="5" borderId="2" applyNumberFormat="1" applyFont="1" applyFill="1" applyBorder="1" applyAlignment="1" applyProtection="0">
      <alignment horizontal="center" vertical="center" wrapText="1"/>
    </xf>
    <xf numFmtId="0" fontId="0" borderId="2" applyNumberFormat="1" applyFont="1" applyFill="0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top" wrapText="1"/>
    </xf>
    <xf numFmtId="3" fontId="0" borderId="2" applyNumberFormat="1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horizontal="left" vertical="top" wrapText="1"/>
    </xf>
    <xf numFmtId="0" fontId="2" borderId="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bdbd"/>
      <rgbColor rgb="ffbfd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mf.org/external/datamapper/datasets/WEO" TargetMode="External"/><Relationship Id="rId2" Type="http://schemas.openxmlformats.org/officeDocument/2006/relationships/hyperlink" Target="https://nstatdb.dgbas.gov.tw/dgbasall/webMain.aspx?k=dgmain" TargetMode="External"/><Relationship Id="rId3" Type="http://schemas.openxmlformats.org/officeDocument/2006/relationships/hyperlink" Target="https://www.worldbank.org/en/programs/icp/data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55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20.05" customHeight="1">
      <c r="A1" s="2"/>
      <c r="B1" t="s" s="3">
        <v>0</v>
      </c>
      <c r="C1" s="4"/>
      <c r="D1" s="4"/>
      <c r="E1" t="s" s="3">
        <v>1</v>
      </c>
      <c r="F1" s="4"/>
      <c r="G1" s="4"/>
      <c r="H1" s="4"/>
      <c r="I1" t="s" s="3">
        <v>2</v>
      </c>
      <c r="J1" t="s" s="3">
        <v>3</v>
      </c>
      <c r="K1" s="4"/>
    </row>
    <row r="2" ht="32.05" customHeight="1">
      <c r="A2" t="s" s="3">
        <v>4</v>
      </c>
      <c r="B2" t="s" s="3">
        <v>5</v>
      </c>
      <c r="C2" t="s" s="3">
        <v>5</v>
      </c>
      <c r="D2" t="s" s="3">
        <v>6</v>
      </c>
      <c r="E2" t="s" s="3">
        <v>7</v>
      </c>
      <c r="F2" t="s" s="3">
        <v>8</v>
      </c>
      <c r="G2" t="s" s="3">
        <v>9</v>
      </c>
      <c r="H2" s="4"/>
      <c r="I2" t="s" s="3">
        <v>10</v>
      </c>
      <c r="J2" t="s" s="3">
        <v>11</v>
      </c>
      <c r="K2" t="s" s="3">
        <v>12</v>
      </c>
    </row>
    <row r="3" ht="20.25" customHeight="1">
      <c r="A3" s="5"/>
      <c r="B3" t="s" s="6">
        <v>13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13</v>
      </c>
      <c r="I3" t="s" s="6">
        <v>19</v>
      </c>
      <c r="J3" t="s" s="6">
        <v>20</v>
      </c>
      <c r="K3" t="s" s="6">
        <v>19</v>
      </c>
    </row>
    <row r="4" ht="20.25" customHeight="1">
      <c r="A4" s="7">
        <v>1980</v>
      </c>
      <c r="B4" s="8">
        <v>42285</v>
      </c>
      <c r="C4" s="9">
        <v>57425</v>
      </c>
      <c r="D4" s="10">
        <v>26.506</v>
      </c>
      <c r="E4" s="11">
        <v>17704538</v>
      </c>
      <c r="F4" s="10">
        <v>36</v>
      </c>
      <c r="G4" s="11">
        <v>1522495</v>
      </c>
      <c r="H4" s="12">
        <v>42292</v>
      </c>
      <c r="I4" s="11"/>
      <c r="J4" s="9" cm="1">
        <f t="array" ref="J4">G4/D4</f>
        <v>57439.6363087603</v>
      </c>
      <c r="K4" s="13" cm="1">
        <f t="array" ref="K4">D4/F4*100</f>
        <v>73.62777777777779</v>
      </c>
    </row>
    <row r="5" ht="20.05" customHeight="1">
      <c r="A5" s="14">
        <v>1981</v>
      </c>
      <c r="B5" s="15">
        <v>48969</v>
      </c>
      <c r="C5" s="16">
        <v>68812</v>
      </c>
      <c r="D5" s="17">
        <v>26.223</v>
      </c>
      <c r="E5" s="18">
        <v>18029982</v>
      </c>
      <c r="F5" s="17">
        <v>36.79</v>
      </c>
      <c r="G5" s="18">
        <v>1804431</v>
      </c>
      <c r="H5" s="19">
        <v>49047</v>
      </c>
      <c r="I5" s="18"/>
      <c r="J5" s="16" cm="1">
        <f t="array" ref="J5">G5/D5</f>
        <v>68811.005605765895</v>
      </c>
      <c r="K5" s="20" cm="1">
        <f t="array" ref="K5">D5/F5*100</f>
        <v>71.2775210655069</v>
      </c>
    </row>
    <row r="6" ht="20.05" customHeight="1">
      <c r="A6" s="14">
        <v>1982</v>
      </c>
      <c r="B6" s="15">
        <v>49535</v>
      </c>
      <c r="C6" s="16">
        <v>76579</v>
      </c>
      <c r="D6" s="17">
        <v>25.307</v>
      </c>
      <c r="E6" s="18">
        <v>18354855</v>
      </c>
      <c r="F6" s="17">
        <v>39.12</v>
      </c>
      <c r="G6" s="18">
        <v>1938023</v>
      </c>
      <c r="H6" s="19">
        <v>49540</v>
      </c>
      <c r="I6" s="18"/>
      <c r="J6" s="16" cm="1">
        <f t="array" ref="J6">G6/D6</f>
        <v>76580.5113209784</v>
      </c>
      <c r="K6" s="20" cm="1">
        <f t="array" ref="K6">D6/F6*100</f>
        <v>64.6906952965235</v>
      </c>
    </row>
    <row r="7" ht="20.05" customHeight="1">
      <c r="A7" s="14">
        <v>1983</v>
      </c>
      <c r="B7" s="15">
        <v>54148</v>
      </c>
      <c r="C7" s="16">
        <v>86759</v>
      </c>
      <c r="D7" s="17">
        <v>25.005</v>
      </c>
      <c r="E7" s="18">
        <v>18653146</v>
      </c>
      <c r="F7" s="17">
        <v>40.06</v>
      </c>
      <c r="G7" s="18">
        <v>2169446</v>
      </c>
      <c r="H7" s="19">
        <v>54155</v>
      </c>
      <c r="I7" s="18"/>
      <c r="J7" s="16" cm="1">
        <f t="array" ref="J7">G7/D7</f>
        <v>86760.4879024195</v>
      </c>
      <c r="K7" s="20" cm="1">
        <f t="array" ref="K7">D7/F7*100</f>
        <v>62.4188716924613</v>
      </c>
    </row>
    <row r="8" ht="20.05" customHeight="1">
      <c r="A8" s="14">
        <v>1984</v>
      </c>
      <c r="B8" s="15">
        <v>61071</v>
      </c>
      <c r="C8" s="16">
        <v>98924</v>
      </c>
      <c r="D8" s="17">
        <v>24.445</v>
      </c>
      <c r="E8" s="18">
        <v>18929866</v>
      </c>
      <c r="F8" s="17">
        <v>39.62</v>
      </c>
      <c r="G8" s="18">
        <v>2418240</v>
      </c>
      <c r="H8" s="19">
        <v>61036</v>
      </c>
      <c r="I8" s="18"/>
      <c r="J8" s="16" cm="1">
        <f t="array" ref="J8">G8/D8</f>
        <v>98925.7516874616</v>
      </c>
      <c r="K8" s="20" cm="1">
        <f t="array" ref="K8">D8/F8*100</f>
        <v>61.6986370519939</v>
      </c>
    </row>
    <row r="9" ht="20.05" customHeight="1">
      <c r="A9" s="14">
        <v>1985</v>
      </c>
      <c r="B9" s="15">
        <v>63617</v>
      </c>
      <c r="C9" s="16">
        <v>106960</v>
      </c>
      <c r="D9" s="17">
        <v>23.701</v>
      </c>
      <c r="E9" s="18">
        <v>19191510</v>
      </c>
      <c r="F9" s="17">
        <v>39.86</v>
      </c>
      <c r="G9" s="18">
        <v>2535056</v>
      </c>
      <c r="H9" s="19">
        <v>63599</v>
      </c>
      <c r="I9" s="18"/>
      <c r="J9" s="16" cm="1">
        <f t="array" ref="J9">G9/D9</f>
        <v>106959.875110755</v>
      </c>
      <c r="K9" s="20" cm="1">
        <f t="array" ref="K9">D9/F9*100</f>
        <v>59.4606121424987</v>
      </c>
    </row>
    <row r="10" ht="20.05" customHeight="1">
      <c r="A10" s="14">
        <v>1986</v>
      </c>
      <c r="B10" s="15">
        <v>78195</v>
      </c>
      <c r="C10" s="16">
        <v>121675</v>
      </c>
      <c r="D10" s="17">
        <v>24.372</v>
      </c>
      <c r="E10" s="18">
        <v>19411454</v>
      </c>
      <c r="F10" s="17">
        <v>37.85</v>
      </c>
      <c r="G10" s="18">
        <v>2965448</v>
      </c>
      <c r="H10" s="19">
        <v>78347</v>
      </c>
      <c r="I10" s="18"/>
      <c r="J10" s="16" cm="1">
        <f t="array" ref="J10">G10/D10</f>
        <v>121674.380436567</v>
      </c>
      <c r="K10" s="20" cm="1">
        <f t="array" ref="K10">D10/F10*100</f>
        <v>64.39101717305149</v>
      </c>
    </row>
    <row r="11" ht="20.05" customHeight="1">
      <c r="A11" s="14">
        <v>1987</v>
      </c>
      <c r="B11" s="15">
        <v>105039</v>
      </c>
      <c r="C11" s="16">
        <v>140590</v>
      </c>
      <c r="D11" s="17">
        <v>23.792</v>
      </c>
      <c r="E11" s="18">
        <v>19617046</v>
      </c>
      <c r="F11" s="17">
        <v>31.87</v>
      </c>
      <c r="G11" s="18">
        <v>3344935</v>
      </c>
      <c r="H11" s="19">
        <v>104956</v>
      </c>
      <c r="I11" s="18"/>
      <c r="J11" s="16" cm="1">
        <f t="array" ref="J11">G11/D11</f>
        <v>140590.744788164</v>
      </c>
      <c r="K11" s="20" cm="1">
        <f t="array" ref="K11">D11/F11*100</f>
        <v>74.65327894571701</v>
      </c>
    </row>
    <row r="12" ht="20.05" customHeight="1">
      <c r="A12" s="14">
        <v>1988</v>
      </c>
      <c r="B12" s="15">
        <v>126473</v>
      </c>
      <c r="C12" s="16">
        <v>157227</v>
      </c>
      <c r="D12" s="17">
        <v>22.996</v>
      </c>
      <c r="E12" s="18">
        <v>19839704</v>
      </c>
      <c r="F12" s="17">
        <v>28.61</v>
      </c>
      <c r="G12" s="18">
        <v>3615662</v>
      </c>
      <c r="H12" s="19">
        <v>126378</v>
      </c>
      <c r="I12" s="18"/>
      <c r="J12" s="16" cm="1">
        <f t="array" ref="J12">G12/D12</f>
        <v>157230.040006958</v>
      </c>
      <c r="K12" s="20" cm="1">
        <f t="array" ref="K12">D12/F12*100</f>
        <v>80.3774903879762</v>
      </c>
    </row>
    <row r="13" ht="20.05" customHeight="1">
      <c r="A13" s="14">
        <v>1989</v>
      </c>
      <c r="B13" s="15">
        <v>152704</v>
      </c>
      <c r="C13" s="16">
        <v>177644</v>
      </c>
      <c r="D13" s="17">
        <v>22.7</v>
      </c>
      <c r="E13" s="18">
        <v>20055492</v>
      </c>
      <c r="F13" s="17">
        <v>26.41</v>
      </c>
      <c r="G13" s="18">
        <v>4032464</v>
      </c>
      <c r="H13" s="19">
        <v>152687</v>
      </c>
      <c r="I13" s="18"/>
      <c r="J13" s="16" cm="1">
        <f t="array" ref="J13">G13/D13</f>
        <v>177641.585903084</v>
      </c>
      <c r="K13" s="20" cm="1">
        <f t="array" ref="K13">D13/F13*100</f>
        <v>85.9522907989398</v>
      </c>
    </row>
    <row r="14" ht="20.05" customHeight="1">
      <c r="A14" s="14">
        <v>1990</v>
      </c>
      <c r="B14" s="15">
        <v>166622</v>
      </c>
      <c r="C14" s="16">
        <v>194504</v>
      </c>
      <c r="D14" s="17">
        <v>23.004</v>
      </c>
      <c r="E14" s="18">
        <v>20278946</v>
      </c>
      <c r="F14" s="17">
        <v>26.89</v>
      </c>
      <c r="G14" s="18">
        <v>4474288</v>
      </c>
      <c r="H14" s="19">
        <v>166392</v>
      </c>
      <c r="I14" s="18"/>
      <c r="J14" s="16" cm="1">
        <f t="array" ref="J14">G14/D14</f>
        <v>194500.434707007</v>
      </c>
      <c r="K14" s="20" cm="1">
        <f t="array" ref="K14">D14/F14*100</f>
        <v>85.54853105243581</v>
      </c>
    </row>
    <row r="15" ht="20.05" customHeight="1">
      <c r="A15" s="14">
        <v>1991</v>
      </c>
      <c r="B15" s="15">
        <v>187140</v>
      </c>
      <c r="C15" s="16">
        <v>217918</v>
      </c>
      <c r="D15" s="17">
        <v>23.027</v>
      </c>
      <c r="E15" s="18">
        <v>20503568</v>
      </c>
      <c r="F15" s="17">
        <v>26.82</v>
      </c>
      <c r="G15" s="18">
        <v>5018019</v>
      </c>
      <c r="H15" s="19">
        <v>187100</v>
      </c>
      <c r="I15" s="18"/>
      <c r="J15" s="16" cm="1">
        <f t="array" ref="J15">G15/D15</f>
        <v>217918.92126634</v>
      </c>
      <c r="K15" s="20" cm="1">
        <f t="array" ref="K15">D15/F15*100</f>
        <v>85.8575689783743</v>
      </c>
    </row>
    <row r="16" ht="20.05" customHeight="1">
      <c r="A16" s="14">
        <v>1992</v>
      </c>
      <c r="B16" s="15">
        <v>222911</v>
      </c>
      <c r="C16" s="16">
        <v>241408</v>
      </c>
      <c r="D16" s="17">
        <v>23.236</v>
      </c>
      <c r="E16" s="18">
        <v>20704227</v>
      </c>
      <c r="F16" s="17">
        <v>25.16</v>
      </c>
      <c r="G16" s="18">
        <v>5609357</v>
      </c>
      <c r="H16" s="19">
        <v>222947</v>
      </c>
      <c r="I16" s="18"/>
      <c r="J16" s="16" cm="1">
        <f t="array" ref="J16">G16/D16</f>
        <v>241408.030642107</v>
      </c>
      <c r="K16" s="20" cm="1">
        <f t="array" ref="K16">D16/F16*100</f>
        <v>92.35294117647059</v>
      </c>
    </row>
    <row r="17" ht="20.05" customHeight="1">
      <c r="A17" s="14">
        <v>1993</v>
      </c>
      <c r="B17" s="15">
        <v>236339</v>
      </c>
      <c r="C17" s="16">
        <v>263970</v>
      </c>
      <c r="D17" s="17">
        <v>23.488</v>
      </c>
      <c r="E17" s="18">
        <v>20899019</v>
      </c>
      <c r="F17" s="17">
        <v>26.39</v>
      </c>
      <c r="G17" s="18">
        <v>6200154</v>
      </c>
      <c r="H17" s="19">
        <v>234943</v>
      </c>
      <c r="I17" s="18"/>
      <c r="J17" s="16" cm="1">
        <f t="array" ref="J17">G17/D17</f>
        <v>263971.134196185</v>
      </c>
      <c r="K17" s="20" cm="1">
        <f t="array" ref="K17">D17/F17*100</f>
        <v>89.0034103827207</v>
      </c>
    </row>
    <row r="18" ht="20.05" customHeight="1">
      <c r="A18" s="14">
        <v>1994</v>
      </c>
      <c r="B18" s="15">
        <v>256247</v>
      </c>
      <c r="C18" s="16">
        <v>289839</v>
      </c>
      <c r="D18" s="17">
        <v>23.39</v>
      </c>
      <c r="E18" s="18">
        <v>21086645</v>
      </c>
      <c r="F18" s="17">
        <v>26.46</v>
      </c>
      <c r="G18" s="18">
        <v>6779396</v>
      </c>
      <c r="H18" s="19">
        <v>256213</v>
      </c>
      <c r="I18" s="18"/>
      <c r="J18" s="16" cm="1">
        <f t="array" ref="J18">G18/D18</f>
        <v>289841.641727234</v>
      </c>
      <c r="K18" s="20" cm="1">
        <f t="array" ref="K18">D18/F18*100</f>
        <v>88.3975812547241</v>
      </c>
    </row>
    <row r="19" ht="20.05" customHeight="1">
      <c r="A19" s="14">
        <v>1995</v>
      </c>
      <c r="B19" s="15">
        <v>279059</v>
      </c>
      <c r="C19" s="16">
        <v>315147</v>
      </c>
      <c r="D19" s="17">
        <v>23.453</v>
      </c>
      <c r="E19" s="18">
        <v>21267653</v>
      </c>
      <c r="F19" s="17">
        <v>26.49</v>
      </c>
      <c r="G19" s="18">
        <v>7391062</v>
      </c>
      <c r="H19" s="19">
        <v>279013</v>
      </c>
      <c r="I19" s="18"/>
      <c r="J19" s="16" cm="1">
        <f t="array" ref="J19">G19/D19</f>
        <v>315143.563723191</v>
      </c>
      <c r="K19" s="20" cm="1">
        <f t="array" ref="K19">D19/F19*100</f>
        <v>88.5352963382408</v>
      </c>
    </row>
    <row r="20" ht="20.05" customHeight="1">
      <c r="A20" s="14">
        <v>1996</v>
      </c>
      <c r="B20" s="15">
        <v>292494</v>
      </c>
      <c r="C20" s="16">
        <v>340738</v>
      </c>
      <c r="D20" s="17">
        <v>23.57</v>
      </c>
      <c r="E20" s="18">
        <v>21441432</v>
      </c>
      <c r="F20" s="17">
        <v>27.46</v>
      </c>
      <c r="G20" s="18">
        <v>8031305</v>
      </c>
      <c r="H20" s="19">
        <v>292473</v>
      </c>
      <c r="I20" s="18"/>
      <c r="J20" s="16" cm="1">
        <f t="array" ref="J20">G20/D20</f>
        <v>340742.681374629</v>
      </c>
      <c r="K20" s="20" cm="1">
        <f t="array" ref="K20">D20/F20*100</f>
        <v>85.8339402767662</v>
      </c>
    </row>
    <row r="21" ht="20.05" customHeight="1">
      <c r="A21" s="14">
        <v>1997</v>
      </c>
      <c r="B21" s="15">
        <v>303284</v>
      </c>
      <c r="C21" s="16">
        <v>367589</v>
      </c>
      <c r="D21" s="17">
        <v>23.682</v>
      </c>
      <c r="E21" s="18">
        <v>21634124</v>
      </c>
      <c r="F21" s="17">
        <v>28.7</v>
      </c>
      <c r="G21" s="18">
        <v>8705149</v>
      </c>
      <c r="H21" s="19">
        <v>303315</v>
      </c>
      <c r="I21" s="18"/>
      <c r="J21" s="16" cm="1">
        <f t="array" ref="J21">G21/D21</f>
        <v>367585.043492948</v>
      </c>
      <c r="K21" s="20" cm="1">
        <f t="array" ref="K21">D21/F21*100</f>
        <v>82.5156794425087</v>
      </c>
    </row>
    <row r="22" ht="20.05" customHeight="1">
      <c r="A22" s="14">
        <v>1998</v>
      </c>
      <c r="B22" s="15">
        <v>279964</v>
      </c>
      <c r="C22" s="16">
        <v>387351</v>
      </c>
      <c r="D22" s="17">
        <v>24.181</v>
      </c>
      <c r="E22" s="18">
        <v>21835703</v>
      </c>
      <c r="F22" s="17">
        <v>33.46</v>
      </c>
      <c r="G22" s="18">
        <v>9366337</v>
      </c>
      <c r="H22" s="19">
        <v>279926</v>
      </c>
      <c r="I22" s="18"/>
      <c r="J22" s="16" cm="1">
        <f t="array" ref="J22">G22/D22</f>
        <v>387342.831148422</v>
      </c>
      <c r="K22" s="20" cm="1">
        <f t="array" ref="K22">D22/F22*100</f>
        <v>72.2683801554094</v>
      </c>
    </row>
    <row r="23" ht="20.05" customHeight="1">
      <c r="A23" s="14">
        <v>1999</v>
      </c>
      <c r="B23" s="15">
        <v>303830</v>
      </c>
      <c r="C23" s="16">
        <v>419277</v>
      </c>
      <c r="D23" s="17">
        <v>23.384</v>
      </c>
      <c r="E23" s="18">
        <v>22010489</v>
      </c>
      <c r="F23" s="17">
        <v>32.27</v>
      </c>
      <c r="G23" s="18">
        <v>9804503</v>
      </c>
      <c r="H23" s="19">
        <v>303827</v>
      </c>
      <c r="I23" s="18"/>
      <c r="J23" s="16" cm="1">
        <f t="array" ref="J23">G23/D23</f>
        <v>419282.543619569</v>
      </c>
      <c r="K23" s="20" cm="1">
        <f t="array" ref="K23">D23/F23*100</f>
        <v>72.4635884722653</v>
      </c>
    </row>
    <row r="24" ht="20.05" customHeight="1">
      <c r="A24" s="14">
        <v>2000</v>
      </c>
      <c r="B24" s="15">
        <v>330680</v>
      </c>
      <c r="C24" s="16">
        <v>455849</v>
      </c>
      <c r="D24" s="17">
        <v>22.658</v>
      </c>
      <c r="E24" s="18">
        <v>22184530</v>
      </c>
      <c r="F24" s="17">
        <v>31.23</v>
      </c>
      <c r="G24" s="18">
        <v>10328549</v>
      </c>
      <c r="H24" s="19">
        <v>330725</v>
      </c>
      <c r="I24" s="18"/>
      <c r="J24" s="16" cm="1">
        <f t="array" ref="J24">G24/D24</f>
        <v>455845.573307441</v>
      </c>
      <c r="K24" s="20" cm="1">
        <f t="array" ref="K24">D24/F24*100</f>
        <v>72.5520333013128</v>
      </c>
    </row>
    <row r="25" ht="20.05" customHeight="1">
      <c r="A25" s="14">
        <v>2001</v>
      </c>
      <c r="B25" s="15">
        <v>299276</v>
      </c>
      <c r="C25" s="16">
        <v>459578</v>
      </c>
      <c r="D25" s="17">
        <v>22.019</v>
      </c>
      <c r="E25" s="18">
        <v>22341120</v>
      </c>
      <c r="F25" s="17">
        <v>33.81</v>
      </c>
      <c r="G25" s="18">
        <v>10119429</v>
      </c>
      <c r="H25" s="19">
        <v>299303</v>
      </c>
      <c r="I25" s="18"/>
      <c r="J25" s="16" cm="1">
        <f t="array" ref="J25">G25/D25</f>
        <v>459577.137926336</v>
      </c>
      <c r="K25" s="20" cm="1">
        <f t="array" ref="K25">D25/F25*100</f>
        <v>65.12570245489501</v>
      </c>
    </row>
    <row r="26" ht="20.05" customHeight="1">
      <c r="A26" s="14">
        <v>2002</v>
      </c>
      <c r="B26" s="15">
        <v>307439</v>
      </c>
      <c r="C26" s="16">
        <v>492314</v>
      </c>
      <c r="D26" s="17">
        <v>21.594</v>
      </c>
      <c r="E26" s="18">
        <v>22463172</v>
      </c>
      <c r="F26" s="17">
        <v>34.58</v>
      </c>
      <c r="G26" s="18">
        <v>10630911</v>
      </c>
      <c r="H26" s="19">
        <v>307429</v>
      </c>
      <c r="I26" s="18"/>
      <c r="J26" s="16" cm="1">
        <f t="array" ref="J26">G26/D26</f>
        <v>492308.557932759</v>
      </c>
      <c r="K26" s="20" cm="1">
        <f t="array" ref="K26">D26/F26*100</f>
        <v>62.4465008675535</v>
      </c>
    </row>
    <row r="27" ht="20.05" customHeight="1">
      <c r="A27" s="14">
        <v>2003</v>
      </c>
      <c r="B27" s="15">
        <v>317381</v>
      </c>
      <c r="C27" s="16">
        <v>523242</v>
      </c>
      <c r="D27" s="17">
        <v>20.878</v>
      </c>
      <c r="E27" s="18">
        <v>22562663</v>
      </c>
      <c r="F27" s="17">
        <v>34.42</v>
      </c>
      <c r="G27" s="18">
        <v>10924029</v>
      </c>
      <c r="H27" s="19">
        <v>317374</v>
      </c>
      <c r="I27" s="18"/>
      <c r="J27" s="16" cm="1">
        <f t="array" ref="J27">G27/D27</f>
        <v>523231.583485008</v>
      </c>
      <c r="K27" s="20" cm="1">
        <f t="array" ref="K27">D27/F27*100</f>
        <v>60.6565950029053</v>
      </c>
    </row>
    <row r="28" ht="20.05" customHeight="1">
      <c r="A28" s="14">
        <v>2004</v>
      </c>
      <c r="B28" s="15">
        <v>346924</v>
      </c>
      <c r="C28" s="16">
        <v>574665</v>
      </c>
      <c r="D28" s="17">
        <v>20.179</v>
      </c>
      <c r="E28" s="18">
        <v>22646836</v>
      </c>
      <c r="F28" s="17">
        <v>33.43</v>
      </c>
      <c r="G28" s="18">
        <v>11596241</v>
      </c>
      <c r="H28" s="19">
        <v>346881</v>
      </c>
      <c r="I28" s="18"/>
      <c r="J28" s="16" cm="1">
        <f t="array" ref="J28">G28/D28</f>
        <v>574668.7645572131</v>
      </c>
      <c r="K28" s="20" cm="1">
        <f t="array" ref="K28">D28/F28*100</f>
        <v>60.3619503440024</v>
      </c>
    </row>
    <row r="29" ht="20.05" customHeight="1">
      <c r="A29" s="14">
        <v>2005</v>
      </c>
      <c r="B29" s="15">
        <v>374060</v>
      </c>
      <c r="C29" s="16">
        <v>624591</v>
      </c>
      <c r="D29" s="17">
        <v>19.271</v>
      </c>
      <c r="E29" s="18">
        <v>22729753</v>
      </c>
      <c r="F29" s="17">
        <v>32.18</v>
      </c>
      <c r="G29" s="18">
        <v>12036675</v>
      </c>
      <c r="H29" s="19">
        <v>374042</v>
      </c>
      <c r="I29" s="18"/>
      <c r="J29" s="16" cm="1">
        <f t="array" ref="J29">G29/D29</f>
        <v>624600.435888122</v>
      </c>
      <c r="K29" s="20" cm="1">
        <f t="array" ref="K29">D29/F29*100</f>
        <v>59.8850217526414</v>
      </c>
    </row>
    <row r="30" ht="20.05" customHeight="1">
      <c r="A30" s="14">
        <v>2006</v>
      </c>
      <c r="B30" s="15">
        <v>386450</v>
      </c>
      <c r="C30" s="16">
        <v>681005</v>
      </c>
      <c r="D30" s="17">
        <v>18.462</v>
      </c>
      <c r="E30" s="18">
        <v>22823455</v>
      </c>
      <c r="F30" s="17">
        <v>32.53</v>
      </c>
      <c r="G30" s="18">
        <v>12572587</v>
      </c>
      <c r="H30" s="19">
        <v>386492</v>
      </c>
      <c r="I30" s="18"/>
      <c r="J30" s="16" cm="1">
        <f t="array" ref="J30">G30/D30</f>
        <v>680998.1042140611</v>
      </c>
      <c r="K30" s="20" cm="1">
        <f t="array" ref="K30">D30/F30*100</f>
        <v>56.753765754688</v>
      </c>
    </row>
    <row r="31" ht="20.05" customHeight="1">
      <c r="A31" s="14">
        <v>2007</v>
      </c>
      <c r="B31" s="15">
        <v>406907</v>
      </c>
      <c r="C31" s="16">
        <v>747369</v>
      </c>
      <c r="D31" s="17">
        <v>17.881</v>
      </c>
      <c r="E31" s="18">
        <v>22917444</v>
      </c>
      <c r="F31" s="17">
        <v>32.84</v>
      </c>
      <c r="G31" s="18">
        <v>13363917</v>
      </c>
      <c r="H31" s="19">
        <v>406940</v>
      </c>
      <c r="I31" s="18"/>
      <c r="J31" s="16" cm="1">
        <f t="array" ref="J31">G31/D31</f>
        <v>747380.85118282</v>
      </c>
      <c r="K31" s="20" cm="1">
        <f t="array" ref="K31">D31/F31*100</f>
        <v>54.4488428745432</v>
      </c>
    </row>
    <row r="32" ht="20.05" customHeight="1">
      <c r="A32" s="14">
        <v>2008</v>
      </c>
      <c r="B32" s="15">
        <v>415901</v>
      </c>
      <c r="C32" s="16">
        <v>767851</v>
      </c>
      <c r="D32" s="17">
        <v>17.08</v>
      </c>
      <c r="E32" s="18">
        <v>22997696</v>
      </c>
      <c r="F32" s="17">
        <v>31.54</v>
      </c>
      <c r="G32" s="18">
        <v>13115096</v>
      </c>
      <c r="H32" s="19">
        <v>415824</v>
      </c>
      <c r="I32" s="18"/>
      <c r="J32" s="16" cm="1">
        <f t="array" ref="J32">G32/D32</f>
        <v>767862.763466042</v>
      </c>
      <c r="K32" s="20" cm="1">
        <f t="array" ref="K32">D32/F32*100</f>
        <v>54.1534559289791</v>
      </c>
    </row>
    <row r="33" ht="20.05" customHeight="1">
      <c r="A33" s="14">
        <v>2009</v>
      </c>
      <c r="B33" s="15">
        <v>390829</v>
      </c>
      <c r="C33" s="16">
        <v>760120</v>
      </c>
      <c r="D33" s="17">
        <v>16.997</v>
      </c>
      <c r="E33" s="18">
        <v>23078402</v>
      </c>
      <c r="F33" s="17">
        <v>33.06</v>
      </c>
      <c r="G33" s="18">
        <v>12919445</v>
      </c>
      <c r="H33" s="19">
        <v>390788</v>
      </c>
      <c r="I33" s="18"/>
      <c r="J33" s="16" cm="1">
        <f t="array" ref="J33">G33/D33</f>
        <v>760101.48849797</v>
      </c>
      <c r="K33" s="20" cm="1">
        <f t="array" ref="K33">D33/F33*100</f>
        <v>51.4125831820932</v>
      </c>
    </row>
    <row r="34" ht="20.05" customHeight="1">
      <c r="A34" s="14">
        <v>2010</v>
      </c>
      <c r="B34" s="15">
        <v>444281</v>
      </c>
      <c r="C34" s="16">
        <v>848181</v>
      </c>
      <c r="D34" s="17">
        <v>16.577</v>
      </c>
      <c r="E34" s="18">
        <v>23140948</v>
      </c>
      <c r="F34" s="17">
        <v>31.65</v>
      </c>
      <c r="G34" s="18">
        <v>14060345</v>
      </c>
      <c r="H34" s="19">
        <v>444245</v>
      </c>
      <c r="I34" s="18"/>
      <c r="J34" s="16" cm="1">
        <f t="array" ref="J34">G34/D34</f>
        <v>848183.92954093</v>
      </c>
      <c r="K34" s="20" cm="1">
        <f t="array" ref="K34">D34/F34*100</f>
        <v>52.3759873617694</v>
      </c>
    </row>
    <row r="35" ht="20.05" customHeight="1">
      <c r="A35" s="14">
        <v>2011</v>
      </c>
      <c r="B35" s="15">
        <v>483974</v>
      </c>
      <c r="C35" s="16">
        <v>897478</v>
      </c>
      <c r="D35" s="17">
        <v>15.891</v>
      </c>
      <c r="E35" s="18">
        <v>23193518</v>
      </c>
      <c r="F35" s="17">
        <v>29.47</v>
      </c>
      <c r="G35" s="18">
        <v>14262201</v>
      </c>
      <c r="H35" s="19">
        <v>483957</v>
      </c>
      <c r="I35" s="18"/>
      <c r="J35" s="16" cm="1">
        <f t="array" ref="J35">G35/D35</f>
        <v>897501.7934680009</v>
      </c>
      <c r="K35" s="20" cm="1">
        <f t="array" ref="K35">D35/F35*100</f>
        <v>53.9226331862911</v>
      </c>
    </row>
    <row r="36" ht="20.05" customHeight="1">
      <c r="A36" s="14">
        <v>2012</v>
      </c>
      <c r="B36" s="15">
        <v>495610</v>
      </c>
      <c r="C36" s="16">
        <v>934492</v>
      </c>
      <c r="D36" s="17">
        <v>15.707</v>
      </c>
      <c r="E36" s="18">
        <v>23270367</v>
      </c>
      <c r="F36" s="17">
        <v>29.62</v>
      </c>
      <c r="G36" s="18">
        <v>14677765</v>
      </c>
      <c r="H36" s="19">
        <v>495536</v>
      </c>
      <c r="I36" s="18"/>
      <c r="J36" s="16" cm="1">
        <f t="array" ref="J36">G36/D36</f>
        <v>934472.84650156</v>
      </c>
      <c r="K36" s="20" cm="1">
        <f t="array" ref="K36">D36/F36*100</f>
        <v>53.0283592167454</v>
      </c>
    </row>
    <row r="37" ht="20.05" customHeight="1">
      <c r="A37" s="14">
        <v>2013</v>
      </c>
      <c r="B37" s="15">
        <v>512943</v>
      </c>
      <c r="C37" s="16">
        <v>973996</v>
      </c>
      <c r="D37" s="17">
        <v>15.678</v>
      </c>
      <c r="E37" s="18">
        <v>23344670</v>
      </c>
      <c r="F37" s="17">
        <v>29.77</v>
      </c>
      <c r="G37" s="18">
        <v>15270728</v>
      </c>
      <c r="H37" s="19">
        <v>512957</v>
      </c>
      <c r="I37" s="18"/>
      <c r="J37" s="16" cm="1">
        <f t="array" ref="J37">G37/D37</f>
        <v>974022.706977931</v>
      </c>
      <c r="K37" s="20" cm="1">
        <f t="array" ref="K37">D37/F37*100</f>
        <v>52.6637554585153</v>
      </c>
    </row>
    <row r="38" ht="20.05" customHeight="1">
      <c r="A38" s="14">
        <v>2014</v>
      </c>
      <c r="B38" s="15">
        <v>535328</v>
      </c>
      <c r="C38" s="16">
        <v>1037722</v>
      </c>
      <c r="D38" s="17">
        <v>15.667</v>
      </c>
      <c r="E38" s="18">
        <v>23403635</v>
      </c>
      <c r="F38" s="17">
        <v>30.37</v>
      </c>
      <c r="G38" s="18">
        <v>16258047</v>
      </c>
      <c r="H38" s="19">
        <v>535332</v>
      </c>
      <c r="I38" s="18"/>
      <c r="J38" s="16" cm="1">
        <f t="array" ref="J38">G38/D38</f>
        <v>1037725.60158295</v>
      </c>
      <c r="K38" s="20" cm="1">
        <f t="array" ref="K38">D38/F38*100</f>
        <v>51.5870925255186</v>
      </c>
    </row>
    <row r="39" ht="20.05" customHeight="1">
      <c r="A39" s="14">
        <v>2015</v>
      </c>
      <c r="B39" s="15">
        <v>534515</v>
      </c>
      <c r="C39" s="16">
        <v>1062698</v>
      </c>
      <c r="D39" s="17">
        <v>16.049</v>
      </c>
      <c r="E39" s="18">
        <v>23462914</v>
      </c>
      <c r="F39" s="17">
        <v>31.91</v>
      </c>
      <c r="G39" s="18">
        <v>17055080</v>
      </c>
      <c r="H39" s="19">
        <v>534474</v>
      </c>
      <c r="I39" s="18"/>
      <c r="J39" s="16" cm="1">
        <f t="array" ref="J39">G39/D39</f>
        <v>1062688.01794504</v>
      </c>
      <c r="K39" s="20" cm="1">
        <f t="array" ref="K39">D39/F39*100</f>
        <v>50.294578502037</v>
      </c>
    </row>
    <row r="40" ht="20.05" customHeight="1">
      <c r="A40" s="14">
        <v>2016</v>
      </c>
      <c r="B40" s="15">
        <v>543081</v>
      </c>
      <c r="C40" s="16">
        <v>1096022</v>
      </c>
      <c r="D40" s="17">
        <v>16.017</v>
      </c>
      <c r="E40" s="18">
        <v>23515945</v>
      </c>
      <c r="F40" s="17">
        <v>32.33</v>
      </c>
      <c r="G40" s="18">
        <v>17555268</v>
      </c>
      <c r="H40" s="19">
        <v>543002</v>
      </c>
      <c r="I40" s="18"/>
      <c r="J40" s="16" cm="1">
        <f t="array" ref="J40">G40/D40</f>
        <v>1096039.70781045</v>
      </c>
      <c r="K40" s="20" cm="1">
        <f t="array" ref="K40">D40/F40*100</f>
        <v>49.5422208475101</v>
      </c>
    </row>
    <row r="41" ht="20.05" customHeight="1">
      <c r="A41" s="14">
        <v>2017</v>
      </c>
      <c r="B41" s="15">
        <v>591687</v>
      </c>
      <c r="C41" s="16">
        <v>1156502</v>
      </c>
      <c r="D41" s="17">
        <v>15.575</v>
      </c>
      <c r="E41" s="18">
        <v>23555522</v>
      </c>
      <c r="F41" s="17">
        <v>30.44</v>
      </c>
      <c r="G41" s="18">
        <v>18012387</v>
      </c>
      <c r="H41" s="19">
        <v>591734</v>
      </c>
      <c r="I41" s="18"/>
      <c r="J41" s="16" cm="1">
        <f t="array" ref="J41">G41/D41</f>
        <v>1156493.54735152</v>
      </c>
      <c r="K41" s="20" cm="1">
        <f t="array" ref="K41">D41/F41*100</f>
        <v>51.1662286465177</v>
      </c>
    </row>
    <row r="42" ht="20.05" customHeight="1">
      <c r="A42" s="14">
        <v>2018</v>
      </c>
      <c r="B42" s="15">
        <v>610690</v>
      </c>
      <c r="C42" s="16">
        <v>1183021</v>
      </c>
      <c r="D42" s="17">
        <v>15.57</v>
      </c>
      <c r="E42" s="18">
        <v>23580080</v>
      </c>
      <c r="F42" s="17">
        <v>30.16</v>
      </c>
      <c r="G42" s="18">
        <v>18420039</v>
      </c>
      <c r="H42" s="19">
        <v>610744</v>
      </c>
      <c r="I42" s="18"/>
      <c r="J42" s="16" cm="1">
        <f t="array" ref="J42">G42/D42</f>
        <v>1183046.82080925</v>
      </c>
      <c r="K42" s="20" cm="1">
        <f t="array" ref="K42">D42/F42*100</f>
        <v>51.6246684350133</v>
      </c>
    </row>
    <row r="43" ht="20.05" customHeight="1">
      <c r="A43" s="14">
        <v>2019</v>
      </c>
      <c r="B43" s="15">
        <v>613512</v>
      </c>
      <c r="C43" s="16">
        <v>1242247</v>
      </c>
      <c r="D43" s="17">
        <v>15.274</v>
      </c>
      <c r="E43" s="18">
        <v>23596027</v>
      </c>
      <c r="F43" s="17">
        <v>30.93</v>
      </c>
      <c r="G43" s="18">
        <v>18974097</v>
      </c>
      <c r="H43" s="19">
        <v>613453</v>
      </c>
      <c r="I43" s="18"/>
      <c r="J43" s="16" cm="1">
        <f t="array" ref="J43">G43/D43</f>
        <v>1242248.06861333</v>
      </c>
      <c r="K43" s="20" cm="1">
        <f t="array" ref="K43">D43/F43*100</f>
        <v>49.3824765599741</v>
      </c>
    </row>
    <row r="44" ht="20.05" customHeight="1">
      <c r="A44" s="14">
        <v>2020</v>
      </c>
      <c r="B44" s="15">
        <v>676861</v>
      </c>
      <c r="C44" s="16">
        <v>1366457</v>
      </c>
      <c r="D44" s="17">
        <v>14.654</v>
      </c>
      <c r="E44" s="18">
        <v>23582179</v>
      </c>
      <c r="F44" s="17">
        <v>29.58</v>
      </c>
      <c r="G44" s="18">
        <v>20023752</v>
      </c>
      <c r="H44" s="19">
        <v>676935</v>
      </c>
      <c r="I44" s="18"/>
      <c r="J44" s="16" cm="1">
        <f t="array" ref="J44">G44/D44</f>
        <v>1366435.92193258</v>
      </c>
      <c r="K44" s="20" cm="1">
        <f t="array" ref="K44">D44/F44*100</f>
        <v>49.5402298850575</v>
      </c>
    </row>
    <row r="45" ht="20.05" customHeight="1">
      <c r="A45" s="14">
        <v>2021</v>
      </c>
      <c r="B45" s="15">
        <v>776965</v>
      </c>
      <c r="C45" s="16">
        <v>1512429</v>
      </c>
      <c r="D45" s="17">
        <v>14.396</v>
      </c>
      <c r="E45" s="18">
        <v>23468275</v>
      </c>
      <c r="F45" s="17">
        <v>28.02</v>
      </c>
      <c r="G45" s="18">
        <v>21773291</v>
      </c>
      <c r="H45" s="19">
        <v>777062</v>
      </c>
      <c r="I45" s="21" cm="1">
        <f t="array" ref="I45">81.4/158.5*100</f>
        <v>51.3564668769716</v>
      </c>
      <c r="J45" s="16" cm="1">
        <f t="array" ref="J45">G45/D45</f>
        <v>1512454.22339539</v>
      </c>
      <c r="K45" s="20" cm="1">
        <f t="array" ref="K45">D45/F45*100</f>
        <v>51.3775874375446</v>
      </c>
    </row>
    <row r="46" ht="20.05" customHeight="1">
      <c r="A46" s="14">
        <v>2022</v>
      </c>
      <c r="B46" s="15">
        <v>765624</v>
      </c>
      <c r="C46" s="16">
        <v>1663473</v>
      </c>
      <c r="D46" s="17">
        <v>13.719</v>
      </c>
      <c r="E46" s="18">
        <v>23319977</v>
      </c>
      <c r="F46" s="17">
        <v>29.81</v>
      </c>
      <c r="G46" s="18">
        <v>22820430</v>
      </c>
      <c r="H46" s="19">
        <v>765529</v>
      </c>
      <c r="I46" s="18"/>
      <c r="J46" s="16" cm="1">
        <f t="array" ref="J46">G46/D46</f>
        <v>1663417.88760114</v>
      </c>
      <c r="K46" s="20" cm="1">
        <f t="array" ref="K46">D46/F46*100</f>
        <v>46.0214693056021</v>
      </c>
    </row>
    <row r="47" ht="20.05" customHeight="1">
      <c r="A47" s="14">
        <v>2023</v>
      </c>
      <c r="B47" s="15">
        <v>757335</v>
      </c>
      <c r="C47" s="16">
        <v>1744370</v>
      </c>
      <c r="D47" s="17">
        <v>13.527</v>
      </c>
      <c r="E47" s="18">
        <v>23342541</v>
      </c>
      <c r="F47" s="17">
        <v>31.16</v>
      </c>
      <c r="G47" s="18">
        <v>23596734</v>
      </c>
      <c r="H47" s="19">
        <v>757276</v>
      </c>
      <c r="I47" s="18"/>
      <c r="J47" s="16" cm="1">
        <f t="array" ref="J47">G47/D47</f>
        <v>1744417.38744733</v>
      </c>
      <c r="K47" s="20" cm="1">
        <f t="array" ref="K47">D47/F47*100</f>
        <v>43.4114249037227</v>
      </c>
    </row>
    <row r="48" ht="20.05" customHeight="1">
      <c r="A48" s="14">
        <v>2024</v>
      </c>
      <c r="B48" s="15">
        <v>797004</v>
      </c>
      <c r="C48" s="16">
        <v>1874150</v>
      </c>
      <c r="D48" s="17">
        <v>13.656</v>
      </c>
      <c r="E48" s="18">
        <v>23410331</v>
      </c>
      <c r="F48" s="17">
        <v>32.11</v>
      </c>
      <c r="G48" s="18">
        <v>25592854</v>
      </c>
      <c r="H48" s="19">
        <v>796904</v>
      </c>
      <c r="I48" s="18"/>
      <c r="J48" s="16" cm="1">
        <f t="array" ref="J48">G48/D48</f>
        <v>1874110.57410662</v>
      </c>
      <c r="K48" s="20" cm="1">
        <f t="array" ref="K48">D48/F48*100</f>
        <v>42.5288072251635</v>
      </c>
    </row>
    <row r="49" ht="20.05" customHeight="1">
      <c r="A49" s="14">
        <v>2025</v>
      </c>
      <c r="B49" s="15">
        <v>884387</v>
      </c>
      <c r="C49" s="16">
        <v>1990268</v>
      </c>
      <c r="D49" s="17">
        <v>13.562</v>
      </c>
      <c r="E49" s="22"/>
      <c r="F49" s="22"/>
      <c r="G49" s="22"/>
      <c r="H49" s="22"/>
      <c r="I49" s="23"/>
      <c r="J49" s="23"/>
      <c r="K49" s="22"/>
    </row>
    <row r="50" ht="20.05" customHeight="1">
      <c r="A50" s="14">
        <v>2026</v>
      </c>
      <c r="B50" s="15">
        <v>971448</v>
      </c>
      <c r="C50" s="16">
        <v>2068854</v>
      </c>
      <c r="D50" s="17">
        <v>13.531</v>
      </c>
      <c r="E50" s="22"/>
      <c r="F50" s="22"/>
      <c r="G50" s="22"/>
      <c r="H50" s="22"/>
      <c r="I50" s="23"/>
      <c r="J50" s="23"/>
      <c r="K50" s="22"/>
    </row>
    <row r="51" ht="20.05" customHeight="1">
      <c r="A51" s="14">
        <v>2027</v>
      </c>
      <c r="B51" s="15">
        <v>1018477</v>
      </c>
      <c r="C51" s="16">
        <v>2156584</v>
      </c>
      <c r="D51" s="17">
        <v>13.513</v>
      </c>
      <c r="E51" s="22"/>
      <c r="F51" s="22"/>
      <c r="G51" s="22"/>
      <c r="H51" s="22"/>
      <c r="I51" s="23"/>
      <c r="J51" s="23"/>
      <c r="K51" s="22"/>
    </row>
    <row r="52" ht="20.05" customHeight="1">
      <c r="A52" s="14">
        <v>2028</v>
      </c>
      <c r="B52" s="15">
        <v>1054976</v>
      </c>
      <c r="C52" s="16">
        <v>2244497</v>
      </c>
      <c r="D52" s="17">
        <v>13.497</v>
      </c>
      <c r="E52" s="22"/>
      <c r="F52" s="22"/>
      <c r="G52" s="22"/>
      <c r="H52" s="22"/>
      <c r="I52" s="23"/>
      <c r="J52" s="23"/>
      <c r="K52" s="22"/>
    </row>
    <row r="53" ht="20.05" customHeight="1">
      <c r="A53" s="14">
        <v>2029</v>
      </c>
      <c r="B53" s="15">
        <v>1082753</v>
      </c>
      <c r="C53" s="16">
        <v>2338154</v>
      </c>
      <c r="D53" s="17">
        <v>13.476</v>
      </c>
      <c r="E53" s="22"/>
      <c r="F53" s="22"/>
      <c r="G53" s="22"/>
      <c r="H53" s="22"/>
      <c r="I53" s="23"/>
      <c r="J53" s="23"/>
      <c r="K53" s="22"/>
    </row>
    <row r="54" ht="20.25" customHeight="1">
      <c r="A54" s="24">
        <v>2030</v>
      </c>
      <c r="B54" s="25">
        <v>1169821</v>
      </c>
      <c r="C54" s="26">
        <v>2434239</v>
      </c>
      <c r="D54" s="27">
        <v>13.433</v>
      </c>
      <c r="E54" s="28"/>
      <c r="F54" s="28"/>
      <c r="G54" s="28"/>
      <c r="H54" s="28"/>
      <c r="I54" s="29"/>
      <c r="J54" s="29"/>
      <c r="K54" s="28"/>
    </row>
    <row r="55" ht="248.25" customHeight="1">
      <c r="A55" t="s" s="30">
        <v>21</v>
      </c>
      <c r="B55" t="s" s="31">
        <v>22</v>
      </c>
      <c r="C55" s="32"/>
      <c r="D55" s="32"/>
      <c r="E55" t="s" s="31">
        <v>23</v>
      </c>
      <c r="F55" s="32"/>
      <c r="G55" s="32"/>
      <c r="H55" s="32"/>
      <c r="I55" t="s" s="31">
        <v>24</v>
      </c>
      <c r="J55" t="s" s="31">
        <v>25</v>
      </c>
      <c r="K55" t="s" s="31">
        <v>26</v>
      </c>
    </row>
  </sheetData>
  <mergeCells count="7">
    <mergeCell ref="A2:A3"/>
    <mergeCell ref="G2:H2"/>
    <mergeCell ref="B1:D1"/>
    <mergeCell ref="E1:H1"/>
    <mergeCell ref="B55:D55"/>
    <mergeCell ref="E55:H55"/>
    <mergeCell ref="J1:K1"/>
  </mergeCells>
  <hyperlinks>
    <hyperlink ref="B55" r:id="rId1" location="" tooltip="" display="https://www.imf.org/external/datamapper/datasets/WEO"/>
    <hyperlink ref="E55" r:id="rId2" location="" tooltip="" display="https://nstatdb.dgbas.gov.tw/dgbasall/webMain.aspx?k=dgmain"/>
    <hyperlink ref="I55" r:id="rId3" location="" tooltip="" display="https://www.worldbank.org/en/programs/icp/data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